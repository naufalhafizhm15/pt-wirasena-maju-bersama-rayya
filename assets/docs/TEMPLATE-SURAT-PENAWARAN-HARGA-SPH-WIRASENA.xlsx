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rat Penawaran SPH" sheetId="1" r:id="rId1"/>
    <sheet name="Rekap Penawaran Sales" sheetId="2" r:id="rId2"/>
  </sheets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#,##0"/>
  </numFmts>
  <fonts count="7">
    <font>
      <sz val="11"/>
      <name val="Calibri"/>
      <color rgb="000000"/>
    </font>
    <font>
      <b/>
      <sz val="14"/>
      <name val="Calibri"/>
      <color rgb="004C22"/>
    </font>
    <font>
      <b/>
      <sz val="11"/>
      <name val="Calibri"/>
      <color rgb="FFFFFF"/>
    </font>
    <font>
      <b/>
      <sz val="11"/>
      <name val="Calibri"/>
      <color rgb="004C22"/>
    </font>
    <font>
      <i/>
      <sz val="9"/>
      <name val="Calibri"/>
      <color rgb="666666"/>
    </font>
    <font>
      <b/>
      <sz val="11"/>
      <name val="Calibri"/>
      <color rgb="000000"/>
    </font>
    <font>
      <sz val="9"/>
      <name val="Calibri"/>
      <color rgb="555555"/>
    </font>
  </fonts>
  <fills count="6">
    <fill>
      <patternFill patternType="none"/>
    </fill>
    <fill>
      <patternFill patternType="gray125"/>
    </fill>
    <fill>
      <patternFill patternType="solid">
        <fgColor rgb="166534"/>
      </patternFill>
    </fill>
    <fill>
      <patternFill patternType="solid">
        <fgColor rgb="DEF7EC"/>
      </patternFill>
    </fill>
    <fill>
      <patternFill patternType="solid">
        <fgColor rgb="F3F4F6"/>
      </patternFill>
    </fill>
    <fill>
      <patternFill patternType="solid">
        <fgColor rgb="FEF3C7"/>
      </patternFill>
    </fill>
  </fills>
  <borders count="3">
    <border>
      <left/>
      <right/>
      <top/>
      <bottom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</border>
    <border>
      <left style="thin">
        <color rgb="166534"/>
      </left>
      <right style="thin">
        <color rgb="166534"/>
      </right>
      <top style="thin">
        <color rgb="166534"/>
      </top>
      <bottom style="double">
        <color rgb="166534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0" fontId="2" fillId="2" borderId="1" xfId="0" applyAlignment="1">
      <alignment horizontal="center" vertical="center"/>
    </xf>
    <xf numFmtId="0" fontId="0" fillId="0" borderId="1" xfId="0" applyAlignment="1">
      <alignment vertical="center" wrapText="1"/>
    </xf>
    <xf numFmtId="0" fontId="0" fillId="0" borderId="1" xfId="0" applyAlignment="1">
      <alignment horizontal="center" vertical="center"/>
    </xf>
    <xf numFmtId="165" fontId="0" fillId="0" borderId="1" xfId="0" applyAlignment="1">
      <alignment horizontal="center" vertical="center"/>
    </xf>
    <xf numFmtId="164" fontId="0" fillId="0" borderId="1" xfId="0" applyAlignment="1">
      <alignment horizontal="right" vertical="center"/>
    </xf>
    <xf numFmtId="164" fontId="5" fillId="0" borderId="1" xfId="0" applyAlignment="1">
      <alignment horizontal="right" vertical="center"/>
    </xf>
    <xf numFmtId="0" fontId="5" fillId="4" borderId="1" xfId="0" applyAlignment="1">
      <alignment horizontal="right" vertical="center"/>
    </xf>
    <xf numFmtId="164" fontId="3" fillId="3" borderId="2" xfId="0" applyAlignment="1">
      <alignment horizontal="right" vertical="center"/>
    </xf>
    <xf numFmtId="0" fontId="3" fillId="3" borderId="2" xfId="0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46" customWidth="1"/>
    <col min="3" max="3" width="10" customWidth="1"/>
    <col min="4" max="4" width="10" customWidth="1"/>
    <col min="5" max="5" width="20" customWidth="1"/>
    <col min="6" max="6" width="24" customWidth="1"/>
  </cols>
  <sheetData>
    <row r="1" ht="24">
      <c r="A1" s="1" t="inlineStr">
        <is>
          <t>PT. WIRASENA MAJU BERSAMA RAYYA</t>
        </is>
      </c>
    </row>
    <row r="2">
      <c r="A2" t="inlineStr">
        <is>
          <t>General Supplier Kebutuhan Pabrik • Pabrik Kemasan Carton Box &amp; Impraboard • Jasa Fabrikasi Trolley</t>
        </is>
      </c>
    </row>
    <row r="3">
      <c r="A3" t="inlineStr">
        <is>
          <t>Alamat: Sukadami, Cikarang Selatan, Bekasi 17530 | WA Sales: 0852-2106-0766 | Email: wirasenamajubersama@gmail.com</t>
        </is>
      </c>
    </row>
    <row r="4">
      <c r="A4" t="inlineStr">
        <is>
          <t>NPWP: 96.434.539.2-447.000 (Pengusaha Kena Pajak - PKP) | Website: www.wirasenaraya.com</t>
        </is>
      </c>
    </row>
    <row r="5" ht="6"/>
    <row r="6">
      <c r="A6" s="1" t="inlineStr">
        <is>
          <t>SURAT PENAWARAN HARGA (QUOTATION)</t>
        </is>
      </c>
    </row>
    <row r="7" ht="6"/>
    <row r="8">
      <c r="A8" t="inlineStr">
        <is>
          <t>Nomor Surat : SPH/WMBR/2026/X/001</t>
        </is>
      </c>
      <c r="E8" t="inlineStr">
        <is>
          <t>Bekasi, 30 Oktober 2026</t>
        </is>
      </c>
    </row>
    <row r="9">
      <c r="A9" t="inlineStr">
        <is>
          <t>Perihal     : Penawaran Harga Pengadaan Kebutuhan Pabrik</t>
        </is>
      </c>
      <c r="E9" t="inlineStr">
        <is>
          <t>Kepada Yth:</t>
        </is>
      </c>
    </row>
    <row r="10">
      <c r="A10" t="inlineStr">
        <is>
          <t>Lampiran    : 1 (Satu) Berkas Spesifikasi Barang</t>
        </is>
      </c>
      <c r="E10" t="inlineStr">
        <is>
          <t>Tim Purchasing &amp; Procurement</t>
        </is>
      </c>
    </row>
    <row r="11">
      <c r="E11" t="inlineStr">
        <is>
          <t>PT. Manufaktur Industri Cikarang</t>
        </is>
      </c>
    </row>
    <row r="12">
      <c r="E12" t="inlineStr">
        <is>
          <t>Kawasan Industri MM2100 / Jababeka / EJIP</t>
        </is>
      </c>
    </row>
    <row r="13" ht="8"/>
    <row r="14" ht="24">
      <c r="A14" s="2" t="inlineStr">
        <is>
          <t>No</t>
        </is>
      </c>
      <c r="B14" s="2" t="inlineStr">
        <is>
          <t>Nama Barang &amp; Spesifikasi Teknis</t>
        </is>
      </c>
      <c r="C14" s="2" t="inlineStr">
        <is>
          <t>Qty</t>
        </is>
      </c>
      <c r="D14" s="2" t="inlineStr">
        <is>
          <t>Satuan</t>
        </is>
      </c>
      <c r="E14" s="2" t="inlineStr">
        <is>
          <t>Harga Satuan (Rp)</t>
        </is>
      </c>
      <c r="F14" s="2" t="inlineStr">
        <is>
          <t>Total Harga (Rp)</t>
        </is>
      </c>
    </row>
    <row r="15" ht="36">
      <c r="A15" s="4" t="inlineStr">
        <is>
          <t>1</t>
        </is>
      </c>
      <c r="B15" s="3" t="inlineStr">
        <is>
          <t>Carton Box Custom Double Wall (K/M/K)
Ukuran: 400 x 300 x 250 mm, Cetak 1 Warna, Flute CB, Standard Export</t>
        </is>
      </c>
      <c r="C15" s="5">
        <v>1000</v>
      </c>
      <c r="D15" s="4" t="inlineStr">
        <is>
          <t>Pcs</t>
        </is>
      </c>
      <c r="E15" s="6">
        <v>12500</v>
      </c>
      <c r="F15" s="7">
        <f>C15*E15</f>
        <v>12500000</v>
      </c>
    </row>
    <row r="16" ht="36">
      <c r="A16" s="4" t="inlineStr">
        <is>
          <t>2</t>
        </is>
      </c>
      <c r="B16" s="3" t="inlineStr">
        <is>
          <t>Komponen Pneumatik Silinder Presisi Standard Industri
Standard ISO, Bore 32mm x Stroke 100mm, Double Acting, Sensor Ready</t>
        </is>
      </c>
      <c r="C16" s="5">
        <v>10</v>
      </c>
      <c r="D16" s="4" t="inlineStr">
        <is>
          <t>Unit</t>
        </is>
      </c>
      <c r="E16" s="6">
        <v>450000</v>
      </c>
      <c r="F16" s="7">
        <f>C16*E16</f>
        <v>4500000</v>
      </c>
    </row>
    <row r="17" ht="36">
      <c r="A17" s="4" t="inlineStr">
        <is>
          <t>3</t>
        </is>
      </c>
      <c r="B17" s="3" t="inlineStr">
        <is>
          <t>Custom Storage Trolley Stainless Steel 304 Heavy Duty
Dimensi: 1200 x 800 x 900 mm, 3 Tingkat, Roda PU 4" Swivel Brake Cap. 500kg</t>
        </is>
      </c>
      <c r="C17" s="5">
        <v>2</v>
      </c>
      <c r="D17" s="4" t="inlineStr">
        <is>
          <t>Unit</t>
        </is>
      </c>
      <c r="E17" s="6">
        <v>3850000</v>
      </c>
      <c r="F17" s="7">
        <f>C17*E17</f>
        <v>7700000</v>
      </c>
    </row>
    <row r="18" ht="24">
      <c r="A18" s="4" t="inlineStr">
        <is>
          <t>4</t>
        </is>
      </c>
      <c r="B18" s="3" t="inlineStr">
        <is>
          <t>[Item Kustom Tambahan]</t>
        </is>
      </c>
      <c r="C18" s="5">
        <v>0</v>
      </c>
      <c r="D18" s="4" t="inlineStr">
        <is>
          <t>Pcs</t>
        </is>
      </c>
      <c r="E18" s="6">
        <v>0</v>
      </c>
      <c r="F18" s="7">
        <f>C18*E18</f>
        <v>0</v>
      </c>
    </row>
    <row r="19" ht="24">
      <c r="A19" s="4" t="inlineStr">
        <is>
          <t>5</t>
        </is>
      </c>
      <c r="B19" s="3" t="inlineStr">
        <is>
          <t>[Item Kustom Tambahan]</t>
        </is>
      </c>
      <c r="C19" s="5">
        <v>0</v>
      </c>
      <c r="D19" s="4" t="inlineStr">
        <is>
          <t>Unit</t>
        </is>
      </c>
      <c r="E19" s="6">
        <v>0</v>
      </c>
      <c r="F19" s="7">
        <f>C19*E19</f>
        <v>0</v>
      </c>
    </row>
    <row r="20" ht="20">
      <c r="A20" s="8" t="inlineStr">
        <is>
          <t>SUBTOTAL</t>
        </is>
      </c>
      <c r="B20" s="8"/>
      <c r="C20" s="8"/>
      <c r="D20" s="8"/>
      <c r="E20" s="8"/>
      <c r="F20" s="7">
        <f>SUM(F15:F19)</f>
        <v>24700000</v>
      </c>
    </row>
    <row r="21" ht="20">
      <c r="A21" s="8" t="inlineStr">
        <is>
          <t>PPN 11%</t>
        </is>
      </c>
      <c r="B21" s="8"/>
      <c r="C21" s="8"/>
      <c r="D21" s="8"/>
      <c r="E21" s="8"/>
      <c r="F21" s="7">
        <f>ROUND(F20*0.11,0)</f>
        <v>2717000</v>
      </c>
    </row>
    <row r="22" ht="24">
      <c r="A22" s="10" t="inlineStr">
        <is>
          <t>TOTAL PENAWARAN (IDR)</t>
        </is>
      </c>
      <c r="B22" s="10"/>
      <c r="C22" s="10"/>
      <c r="D22" s="10"/>
      <c r="E22" s="10"/>
      <c r="F22" s="9">
        <f>F20+F21</f>
        <v>27417000</v>
      </c>
    </row>
    <row r="23" ht="12"/>
    <row r="24">
      <c r="A24" s="1" t="inlineStr">
        <is>
          <t>Syarat &amp; Ketentuan Kerjasama (Terms &amp; Conditions):</t>
        </is>
      </c>
    </row>
    <row r="25">
      <c r="A25" t="inlineStr">
        <is>
          <t>1. Masa Berlaku Harga : Penawaran harga ini berlaku selama 14 (empat belas) hari kalender sejak tanggal diterbitkan.</t>
        </is>
      </c>
    </row>
    <row r="26">
      <c r="A26" t="inlineStr">
        <is>
          <t>2. Syarat Pembayaran  : Pembayaran via transfer bank dengan sistem TOP 30 (tiga puluh) hari setelah Invoice &amp; Surat Jalan (SJ) resmi diterima lengkap.</t>
        </is>
      </c>
    </row>
    <row r="27">
      <c r="A27" t="inlineStr">
        <is>
          <t>3. Waktu Pengiriman   : Pengiriman barang 3 – 5 hari kerja setelah Purchase Order (PO) resmi kami terima.</t>
        </is>
      </c>
    </row>
    <row r="28">
      <c r="A28" t="inlineStr">
        <is>
          <t>4. Lokasi Penyerahan  : Harga sudah termasuk ongkos kirim (Franko Pabrik/Gudang Pemesan di area Cikarang, Bekasi &amp; Karawang).</t>
        </is>
      </c>
    </row>
    <row r="29">
      <c r="A29" t="inlineStr">
        <is>
          <t>5. Rekening Resmi     : Pembayaran ditransfer ke rekening resmi atas nama PT. WIRASENA MAJU BERSAMA RAYYA.</t>
        </is>
      </c>
    </row>
    <row r="30" ht="14"/>
    <row r="31">
      <c r="B31" t="inlineStr">
        <is>
          <t>Disetujui Oleh (Pihak Pembeli),</t>
        </is>
      </c>
      <c r="E31" t="inlineStr">
        <is>
          <t>Hormat Kami,</t>
        </is>
      </c>
    </row>
    <row r="32">
      <c r="B32" t="inlineStr">
        <is>
          <t>PT. Manufaktur Industri Cikarang</t>
        </is>
      </c>
      <c r="E32" t="inlineStr">
        <is>
          <t>PT. WIRASENA MAJU BERSAMA RAYYA</t>
        </is>
      </c>
    </row>
    <row r="33" ht="45"/>
    <row r="34">
      <c r="B34" t="inlineStr">
        <is>
          <t>( ............................................ )</t>
        </is>
      </c>
      <c r="E34" s="1" t="inlineStr">
        <is>
          <t>Yongki Kav</t>
        </is>
      </c>
    </row>
    <row r="35">
      <c r="B35" t="inlineStr">
        <is>
          <t>Purchasing / Procurement Dept</t>
        </is>
      </c>
      <c r="E35" t="inlineStr">
        <is>
          <t>Sales &amp; Business Development Director</t>
        </is>
      </c>
    </row>
    <row r="36">
      <c r="E36" t="inlineStr">
        <is>
          <t>WhatsApp: 0852-2106-0766</t>
        </is>
      </c>
    </row>
  </sheetData>
  <mergeCells count="8">
    <mergeCell ref="A1:F1"/>
    <mergeCell ref="A2:F2"/>
    <mergeCell ref="A3:F3"/>
    <mergeCell ref="A4:F4"/>
    <mergeCell ref="A6:F6"/>
    <mergeCell ref="A20:E20"/>
    <mergeCell ref="A21:E21"/>
    <mergeCell ref="A22:E22"/>
  </mergeCells>
</worksheet>
</file>

<file path=xl/worksheets/sheet2.xml><?xml version="1.0" encoding="utf-8"?>
<worksheet xmlns="http://schemas.openxmlformats.org/spreadsheetml/2006/main">
  <cols>
    <col min="1" max="1" width="6" customWidth="1"/>
    <col min="2" max="2" width="14" customWidth="1"/>
    <col min="3" max="3" width="18" customWidth="1"/>
    <col min="4" max="4" width="32" customWidth="1"/>
    <col min="5" max="5" width="20" customWidth="1"/>
    <col min="6" max="6" width="22" customWidth="1"/>
    <col min="7" max="7" width="16" customWidth="1"/>
    <col min="8" max="8" width="28" customWidth="1"/>
  </cols>
  <sheetData>
    <row r="1" ht="24">
      <c r="A1" s="1" t="inlineStr">
        <is>
          <t>REKAPITULASI PENGAJUAN PENAWARAN HARGA (SALES PIPELINE LOG)</t>
        </is>
      </c>
    </row>
    <row r="2">
      <c r="A2" t="inlineStr">
        <is>
          <t>PT. Wirasena Maju Bersama Rayya — Director of Sales: Yongki Kav (0852-2106-0766)</t>
        </is>
      </c>
    </row>
    <row r="3" ht="8"/>
    <row r="4" ht="24">
      <c r="A4" s="2" t="inlineStr">
        <is>
          <t>No</t>
        </is>
      </c>
      <c r="B4" s="2" t="inlineStr">
        <is>
          <t>Tgl SPH</t>
        </is>
      </c>
      <c r="C4" s="2" t="inlineStr">
        <is>
          <t>No. SPH</t>
        </is>
      </c>
      <c r="D4" s="2" t="inlineStr">
        <is>
          <t>Nama Pabrik / Klien</t>
        </is>
      </c>
      <c r="E4" s="2" t="inlineStr">
        <is>
          <t>Kategori Kebutuhan</t>
        </is>
      </c>
      <c r="F4" s="2" t="inlineStr">
        <is>
          <t>Nilai Penawaran (Rp)</t>
        </is>
      </c>
      <c r="G4" s="2" t="inlineStr">
        <is>
          <t>Status Progres</t>
        </is>
      </c>
      <c r="H4" s="2" t="inlineStr">
        <is>
          <t>Catatan Follow Up</t>
        </is>
      </c>
    </row>
    <row r="5" ht="22">
      <c r="A5" s="4" t="inlineStr">
        <is>
          <t>1</t>
        </is>
      </c>
      <c r="B5" s="4" t="inlineStr">
        <is>
          <t>30/10/2026</t>
        </is>
      </c>
      <c r="C5" s="4" t="inlineStr">
        <is>
          <t>SPH/2026/001</t>
        </is>
      </c>
      <c r="D5" s="3" t="inlineStr">
        <is>
          <t>PT. Denso Indonesia (Sample)</t>
        </is>
      </c>
      <c r="E5" s="3" t="inlineStr">
        <is>
          <t>Carton Box &amp; Impraboard</t>
        </is>
      </c>
      <c r="F5" s="7">
        <v>27417000</v>
      </c>
      <c r="G5" s="4" t="inlineStr">
        <is>
          <t>Terkirim (Sent)</t>
        </is>
      </c>
      <c r="H5" s="3" t="inlineStr">
        <is>
          <t>Menunggu konfirmasi PO dari Procurement</t>
        </is>
      </c>
    </row>
  </sheetData>
  <mergeCells count="2">
    <mergeCell ref="A1:H1"/>
    <mergeCell ref="A2:H2"/>
  </mergeCells>
</worksheet>
</file>